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<sst xmlns="http://schemas.openxmlformats.org/spreadsheetml/2006/main" count="22" uniqueCount="22">
  <si>
    <t>xi(uso diario redes sociales)</t>
  </si>
  <si>
    <t>fi</t>
  </si>
  <si>
    <t>Fi</t>
  </si>
  <si>
    <t>fri</t>
  </si>
  <si>
    <t>Fri</t>
  </si>
  <si>
    <t>pi%</t>
  </si>
  <si>
    <t>Pi%</t>
  </si>
  <si>
    <t>media aritmética</t>
  </si>
  <si>
    <t>moda</t>
  </si>
  <si>
    <t>mediana</t>
  </si>
  <si>
    <t>C.asimetría</t>
  </si>
  <si>
    <t>Curtosis</t>
  </si>
  <si>
    <t>mc</t>
  </si>
  <si>
    <t>Varianza</t>
  </si>
  <si>
    <t>Desvío estándar</t>
  </si>
  <si>
    <t>C.variación</t>
  </si>
  <si>
    <t>0 - 2</t>
  </si>
  <si>
    <t>2 - 4</t>
  </si>
  <si>
    <t>4 - 6</t>
  </si>
  <si>
    <t>6 - 8</t>
  </si>
  <si>
    <t>8 - 10</t>
  </si>
  <si>
    <t>10 - 12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</si>
</sst>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3" fontId="1" numFmtId="0" xfId="0" applyAlignment="1" applyBorder="1" applyFill="1" applyFont="1">
      <alignment vertical="bottom"/>
    </xf>
    <xf borderId="1" fillId="3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</row>
    <row r="19">
      <c r="A19" s="2" t="s">
        <v>16</v>
      </c>
      <c r="B19" s="3">
        <v>30.0</v>
      </c>
      <c r="C19" s="3">
        <f>B19</f>
        <v>30</v>
      </c>
      <c r="D19" s="3">
        <f t="shared" ref="D19:D24" si="1">B19/$B$25</f>
        <v>0.15</v>
      </c>
      <c r="E19" s="3">
        <f>D19</f>
        <v>0.15</v>
      </c>
      <c r="F19" s="3">
        <f t="shared" ref="F19:F24" si="2">D19*100</f>
        <v>15</v>
      </c>
      <c r="G19" s="3">
        <f>F19</f>
        <v>15</v>
      </c>
      <c r="H19" s="3">
        <f t="shared" ref="H19:H24" si="3">M19*B19</f>
        <v>30</v>
      </c>
      <c r="I19" s="3">
        <f>2+(20/(20+7))*2</f>
        <v>3.481481481</v>
      </c>
      <c r="J19" s="3">
        <f>4 +((200/2 -80/43)*2)</f>
        <v>200.2790698</v>
      </c>
      <c r="K19" s="2"/>
      <c r="L19" s="2"/>
      <c r="M19" s="3">
        <v>1.0</v>
      </c>
      <c r="N19" s="3">
        <f t="shared" ref="N19:N24" si="4">M19*B19</f>
        <v>30</v>
      </c>
      <c r="O19" s="3">
        <f>SQRT(N26)</f>
        <v>2.308679276</v>
      </c>
      <c r="P19" s="3">
        <f>(O19/H26)*100</f>
        <v>43.31480818</v>
      </c>
    </row>
    <row r="20">
      <c r="A20" s="2" t="s">
        <v>17</v>
      </c>
      <c r="B20" s="3">
        <v>50.0</v>
      </c>
      <c r="C20" s="3">
        <f t="shared" ref="C20:C24" si="5">C19+B20</f>
        <v>80</v>
      </c>
      <c r="D20" s="3">
        <f t="shared" si="1"/>
        <v>0.25</v>
      </c>
      <c r="E20" s="3">
        <f t="shared" ref="E20:E24" si="6">D20+E19</f>
        <v>0.4</v>
      </c>
      <c r="F20" s="3">
        <f t="shared" si="2"/>
        <v>25</v>
      </c>
      <c r="G20" s="3">
        <f t="shared" ref="G20:G24" si="7">G19+F20</f>
        <v>40</v>
      </c>
      <c r="H20" s="3">
        <f t="shared" si="3"/>
        <v>150</v>
      </c>
      <c r="I20" s="2"/>
      <c r="J20" s="2"/>
      <c r="K20" s="2"/>
      <c r="L20" s="2"/>
      <c r="M20" s="3">
        <v>3.0</v>
      </c>
      <c r="N20" s="3">
        <f t="shared" si="4"/>
        <v>150</v>
      </c>
      <c r="O20" s="2"/>
      <c r="P20" s="2"/>
    </row>
    <row r="21">
      <c r="A21" s="2" t="s">
        <v>18</v>
      </c>
      <c r="B21" s="3">
        <v>43.0</v>
      </c>
      <c r="C21" s="3">
        <f t="shared" si="5"/>
        <v>123</v>
      </c>
      <c r="D21" s="3">
        <f t="shared" si="1"/>
        <v>0.215</v>
      </c>
      <c r="E21" s="3">
        <f t="shared" si="6"/>
        <v>0.615</v>
      </c>
      <c r="F21" s="3">
        <f t="shared" si="2"/>
        <v>21.5</v>
      </c>
      <c r="G21" s="3">
        <f t="shared" si="7"/>
        <v>61.5</v>
      </c>
      <c r="H21" s="3">
        <f t="shared" si="3"/>
        <v>215</v>
      </c>
      <c r="I21" s="2"/>
      <c r="J21" s="2"/>
      <c r="K21" s="2"/>
      <c r="L21" s="2"/>
      <c r="M21" s="3">
        <v>5.0</v>
      </c>
      <c r="N21" s="3">
        <f t="shared" si="4"/>
        <v>215</v>
      </c>
      <c r="O21" s="2"/>
      <c r="P21" s="2"/>
    </row>
    <row r="22">
      <c r="A22" s="2" t="s">
        <v>19</v>
      </c>
      <c r="B22" s="3">
        <v>34.0</v>
      </c>
      <c r="C22" s="3">
        <f t="shared" si="5"/>
        <v>157</v>
      </c>
      <c r="D22" s="3">
        <f t="shared" si="1"/>
        <v>0.17</v>
      </c>
      <c r="E22" s="3">
        <f t="shared" si="6"/>
        <v>0.785</v>
      </c>
      <c r="F22" s="3">
        <f t="shared" si="2"/>
        <v>17</v>
      </c>
      <c r="G22" s="3">
        <f t="shared" si="7"/>
        <v>78.5</v>
      </c>
      <c r="H22" s="3">
        <f t="shared" si="3"/>
        <v>238</v>
      </c>
      <c r="I22" s="2"/>
      <c r="J22" s="2"/>
      <c r="K22" s="2"/>
      <c r="L22" s="2"/>
      <c r="M22" s="3">
        <v>7.0</v>
      </c>
      <c r="N22" s="3">
        <f t="shared" si="4"/>
        <v>238</v>
      </c>
      <c r="O22" s="2"/>
      <c r="P22" s="2"/>
    </row>
    <row r="23">
      <c r="A23" s="2" t="s">
        <v>20</v>
      </c>
      <c r="B23" s="3">
        <v>20.0</v>
      </c>
      <c r="C23" s="3">
        <f t="shared" si="5"/>
        <v>177</v>
      </c>
      <c r="D23" s="3">
        <f t="shared" si="1"/>
        <v>0.1</v>
      </c>
      <c r="E23" s="3">
        <f t="shared" si="6"/>
        <v>0.885</v>
      </c>
      <c r="F23" s="3">
        <f t="shared" si="2"/>
        <v>10</v>
      </c>
      <c r="G23" s="3">
        <f t="shared" si="7"/>
        <v>88.5</v>
      </c>
      <c r="H23" s="3">
        <f t="shared" si="3"/>
        <v>180</v>
      </c>
      <c r="I23" s="2"/>
      <c r="J23" s="2"/>
      <c r="K23" s="2"/>
      <c r="L23" s="2"/>
      <c r="M23" s="3">
        <v>9.0</v>
      </c>
      <c r="N23" s="3">
        <f t="shared" si="4"/>
        <v>180</v>
      </c>
      <c r="O23" s="2"/>
      <c r="P23" s="2"/>
    </row>
    <row r="24">
      <c r="A24" s="2" t="s">
        <v>21</v>
      </c>
      <c r="B24" s="3">
        <v>23.0</v>
      </c>
      <c r="C24" s="3">
        <f t="shared" si="5"/>
        <v>200</v>
      </c>
      <c r="D24" s="3">
        <f t="shared" si="1"/>
        <v>0.115</v>
      </c>
      <c r="E24" s="3">
        <f t="shared" si="6"/>
        <v>1</v>
      </c>
      <c r="F24" s="3">
        <f t="shared" si="2"/>
        <v>11.5</v>
      </c>
      <c r="G24" s="3">
        <f t="shared" si="7"/>
        <v>100</v>
      </c>
      <c r="H24" s="3">
        <f t="shared" si="3"/>
        <v>253</v>
      </c>
      <c r="I24" s="2"/>
      <c r="J24" s="2"/>
      <c r="K24" s="2"/>
      <c r="L24" s="2"/>
      <c r="M24" s="3">
        <v>11.0</v>
      </c>
      <c r="N24" s="3">
        <f t="shared" si="4"/>
        <v>253</v>
      </c>
      <c r="O24" s="2"/>
      <c r="P24" s="2"/>
    </row>
    <row r="25">
      <c r="A25" s="4"/>
      <c r="B25" s="5">
        <f>SUM(B19:B24)</f>
        <v>200</v>
      </c>
      <c r="C25" s="4"/>
      <c r="D25" s="4"/>
      <c r="E25" s="4"/>
      <c r="F25" s="4"/>
      <c r="G25" s="4"/>
      <c r="H25" s="5">
        <f>SUM(H19:H24)</f>
        <v>1066</v>
      </c>
      <c r="I25" s="4"/>
      <c r="J25" s="4"/>
      <c r="K25" s="4"/>
      <c r="L25" s="4"/>
      <c r="M25" s="4"/>
      <c r="N25" s="5">
        <f>SUM(N19:N24)</f>
        <v>1066</v>
      </c>
      <c r="O25" s="4"/>
      <c r="P25" s="4"/>
    </row>
    <row r="26">
      <c r="A26" s="4"/>
      <c r="B26" s="4"/>
      <c r="C26" s="4"/>
      <c r="D26" s="4"/>
      <c r="E26" s="4"/>
      <c r="F26" s="4"/>
      <c r="G26" s="4"/>
      <c r="H26" s="5">
        <f>H25/200</f>
        <v>5.33</v>
      </c>
      <c r="I26" s="4"/>
      <c r="J26" s="4"/>
      <c r="K26" s="4"/>
      <c r="L26" s="4"/>
      <c r="M26" s="4"/>
      <c r="N26" s="5">
        <f>N25/B25</f>
        <v>5.33</v>
      </c>
      <c r="O26" s="4"/>
      <c r="P26" s="4"/>
    </row>
  </sheetData>
  <drawing r:id="rId1"/>
</worksheet>
</file>