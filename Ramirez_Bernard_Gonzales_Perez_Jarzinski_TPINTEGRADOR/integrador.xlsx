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<sst xmlns="http://schemas.openxmlformats.org/spreadsheetml/2006/main" count="50" uniqueCount="36">
  <si>
    <t>xi(c.horas de uso de pantalla)</t>
  </si>
  <si>
    <t>fi</t>
  </si>
  <si>
    <t>Fi</t>
  </si>
  <si>
    <t>fri</t>
  </si>
  <si>
    <t>Fri</t>
  </si>
  <si>
    <t>pi%</t>
  </si>
  <si>
    <t>Pi%</t>
  </si>
  <si>
    <t>media aritmética</t>
  </si>
  <si>
    <t>moda</t>
  </si>
  <si>
    <t>mediana</t>
  </si>
  <si>
    <t xml:space="preserve">C.asimetría </t>
  </si>
  <si>
    <t>Curtosis</t>
  </si>
  <si>
    <t>mc</t>
  </si>
  <si>
    <t>Varianza</t>
  </si>
  <si>
    <t>Desvío estándar</t>
  </si>
  <si>
    <t>C.variación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</si>
  <si>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</si>
  <si>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</si>
  <si>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</si>
  <si>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</si>
  <si>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</si>
  <si>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</si>
  <si>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</si>
  <si>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</si>
  <si>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</si>
  <si>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</si>
  <si>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</si>
  <si>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</si>
  <si>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xi(uso diario redes sociales)</t>
  </si>
  <si>
    <t>C.asimetría</t>
  </si>
  <si>
    <t>0 - 2</t>
  </si>
  <si>
    <t>2 - 4</t>
  </si>
  <si>
    <t>4 - 6</t>
  </si>
  <si>
    <t>6 - 8</t>
  </si>
  <si>
    <t>8 - 10</t>
  </si>
  <si>
    <t>10 - 12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</si>
</sst>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8" max="8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38.0</v>
      </c>
      <c r="C2" s="3">
        <f>B2</f>
        <v>38</v>
      </c>
      <c r="D2" s="3">
        <f t="shared" ref="D2:D13" si="1">B2/$B$14</f>
        <v>0.19</v>
      </c>
      <c r="E2" s="3">
        <f>D2</f>
        <v>0.19</v>
      </c>
      <c r="F2" s="3">
        <f t="shared" ref="F2:F13" si="2">D2*100</f>
        <v>19</v>
      </c>
      <c r="G2" s="3">
        <f>F2</f>
        <v>19</v>
      </c>
      <c r="H2" s="2">
        <f t="shared" ref="H2:H13" si="3">M2*B2</f>
        <v>190</v>
      </c>
      <c r="I2" s="3">
        <f>30 + ((B5 - B4) / ((B5 - B4) + (B5 - B6))) * 10</f>
        <v>31.81818182</v>
      </c>
      <c r="J2" s="3">
        <f>20 + ((100 - C3) / B4) * 10</f>
        <v>28.75</v>
      </c>
      <c r="K2" s="3" t="str">
        <f>SUMPRODUCT((M2:M13-H15)^2, B2:B12) /200</f>
        <v>#VALUE!</v>
      </c>
      <c r="L2" s="3"/>
      <c r="M2" s="2">
        <v>5.0</v>
      </c>
      <c r="N2" s="3">
        <f t="shared" ref="N2:N13" si="4">M2^2*B2</f>
        <v>950</v>
      </c>
      <c r="O2" s="3">
        <f>SQRT(N15)</f>
        <v>37.94733192</v>
      </c>
      <c r="P2" s="2">
        <f>(O2/H15)*100</f>
        <v>122.4107481</v>
      </c>
    </row>
    <row r="3">
      <c r="A3" s="2" t="s">
        <v>17</v>
      </c>
      <c r="B3" s="2">
        <v>27.0</v>
      </c>
      <c r="C3" s="3">
        <f t="shared" ref="C3:C13" si="5">C2+B3</f>
        <v>65</v>
      </c>
      <c r="D3" s="3">
        <f t="shared" si="1"/>
        <v>0.135</v>
      </c>
      <c r="E3" s="3">
        <f t="shared" ref="E3:E13" si="6">D3+E2</f>
        <v>0.325</v>
      </c>
      <c r="F3" s="3">
        <f t="shared" si="2"/>
        <v>13.5</v>
      </c>
      <c r="G3" s="3">
        <f t="shared" ref="G3:G13" si="7">G2+F3</f>
        <v>32.5</v>
      </c>
      <c r="H3" s="2">
        <f t="shared" si="3"/>
        <v>405</v>
      </c>
      <c r="I3" s="3"/>
      <c r="J3" s="3"/>
      <c r="K3" s="3"/>
      <c r="L3" s="3"/>
      <c r="M3" s="2">
        <v>15.0</v>
      </c>
      <c r="N3" s="3">
        <f t="shared" si="4"/>
        <v>6075</v>
      </c>
      <c r="O3" s="3"/>
      <c r="P3" s="3"/>
    </row>
    <row r="4">
      <c r="A4" s="2" t="s">
        <v>18</v>
      </c>
      <c r="B4" s="2">
        <v>40.0</v>
      </c>
      <c r="C4" s="3">
        <f t="shared" si="5"/>
        <v>105</v>
      </c>
      <c r="D4" s="3">
        <f t="shared" si="1"/>
        <v>0.2</v>
      </c>
      <c r="E4" s="3">
        <f t="shared" si="6"/>
        <v>0.525</v>
      </c>
      <c r="F4" s="3">
        <f t="shared" si="2"/>
        <v>20</v>
      </c>
      <c r="G4" s="3">
        <f t="shared" si="7"/>
        <v>52.5</v>
      </c>
      <c r="H4" s="2">
        <f t="shared" si="3"/>
        <v>1000</v>
      </c>
      <c r="I4" s="3"/>
      <c r="J4" s="3"/>
      <c r="K4" s="3"/>
      <c r="L4" s="3"/>
      <c r="M4" s="2">
        <v>25.0</v>
      </c>
      <c r="N4" s="3">
        <f t="shared" si="4"/>
        <v>25000</v>
      </c>
      <c r="O4" s="3"/>
      <c r="P4" s="3"/>
    </row>
    <row r="5">
      <c r="A5" s="2" t="s">
        <v>19</v>
      </c>
      <c r="B5" s="2">
        <v>46.0</v>
      </c>
      <c r="C5" s="3">
        <f t="shared" si="5"/>
        <v>151</v>
      </c>
      <c r="D5" s="3">
        <f t="shared" si="1"/>
        <v>0.23</v>
      </c>
      <c r="E5" s="3">
        <f t="shared" si="6"/>
        <v>0.755</v>
      </c>
      <c r="F5" s="3">
        <f t="shared" si="2"/>
        <v>23</v>
      </c>
      <c r="G5" s="3">
        <f t="shared" si="7"/>
        <v>75.5</v>
      </c>
      <c r="H5" s="2">
        <f t="shared" si="3"/>
        <v>1610</v>
      </c>
      <c r="I5" s="3"/>
      <c r="J5" s="3"/>
      <c r="K5" s="3"/>
      <c r="L5" s="3"/>
      <c r="M5" s="2">
        <v>35.0</v>
      </c>
      <c r="N5" s="3">
        <f t="shared" si="4"/>
        <v>56350</v>
      </c>
      <c r="O5" s="3"/>
      <c r="P5" s="3"/>
    </row>
    <row r="6">
      <c r="A6" s="2" t="s">
        <v>20</v>
      </c>
      <c r="B6" s="2">
        <v>19.0</v>
      </c>
      <c r="C6" s="3">
        <f t="shared" si="5"/>
        <v>170</v>
      </c>
      <c r="D6" s="3">
        <f t="shared" si="1"/>
        <v>0.095</v>
      </c>
      <c r="E6" s="3">
        <f t="shared" si="6"/>
        <v>0.85</v>
      </c>
      <c r="F6" s="3">
        <f t="shared" si="2"/>
        <v>9.5</v>
      </c>
      <c r="G6" s="3">
        <f t="shared" si="7"/>
        <v>85</v>
      </c>
      <c r="H6" s="2">
        <f t="shared" si="3"/>
        <v>855</v>
      </c>
      <c r="I6" s="3"/>
      <c r="J6" s="3"/>
      <c r="K6" s="3"/>
      <c r="L6" s="3"/>
      <c r="M6" s="2">
        <v>45.0</v>
      </c>
      <c r="N6" s="3">
        <f t="shared" si="4"/>
        <v>38475</v>
      </c>
      <c r="O6" s="3"/>
      <c r="P6" s="3"/>
    </row>
    <row r="7">
      <c r="A7" s="2" t="s">
        <v>21</v>
      </c>
      <c r="B7" s="2">
        <v>8.0</v>
      </c>
      <c r="C7" s="3">
        <f t="shared" si="5"/>
        <v>178</v>
      </c>
      <c r="D7" s="3">
        <f t="shared" si="1"/>
        <v>0.04</v>
      </c>
      <c r="E7" s="3">
        <f t="shared" si="6"/>
        <v>0.89</v>
      </c>
      <c r="F7" s="3">
        <f t="shared" si="2"/>
        <v>4</v>
      </c>
      <c r="G7" s="3">
        <f t="shared" si="7"/>
        <v>89</v>
      </c>
      <c r="H7" s="2">
        <f t="shared" si="3"/>
        <v>440</v>
      </c>
      <c r="I7" s="3"/>
      <c r="J7" s="3"/>
      <c r="K7" s="3"/>
      <c r="L7" s="3"/>
      <c r="M7" s="2">
        <v>55.0</v>
      </c>
      <c r="N7" s="3">
        <f t="shared" si="4"/>
        <v>24200</v>
      </c>
      <c r="O7" s="3"/>
      <c r="P7" s="3"/>
    </row>
    <row r="8">
      <c r="A8" s="2" t="s">
        <v>22</v>
      </c>
      <c r="B8" s="2">
        <v>10.0</v>
      </c>
      <c r="C8" s="3">
        <f t="shared" si="5"/>
        <v>188</v>
      </c>
      <c r="D8" s="3">
        <f t="shared" si="1"/>
        <v>0.05</v>
      </c>
      <c r="E8" s="3">
        <f t="shared" si="6"/>
        <v>0.94</v>
      </c>
      <c r="F8" s="3">
        <f t="shared" si="2"/>
        <v>5</v>
      </c>
      <c r="G8" s="3">
        <f t="shared" si="7"/>
        <v>94</v>
      </c>
      <c r="H8" s="2">
        <f t="shared" si="3"/>
        <v>650</v>
      </c>
      <c r="I8" s="3"/>
      <c r="J8" s="3"/>
      <c r="K8" s="3"/>
      <c r="L8" s="3"/>
      <c r="M8" s="2">
        <v>65.0</v>
      </c>
      <c r="N8" s="3">
        <f t="shared" si="4"/>
        <v>42250</v>
      </c>
      <c r="O8" s="3"/>
      <c r="P8" s="3"/>
    </row>
    <row r="9">
      <c r="A9" s="2" t="s">
        <v>23</v>
      </c>
      <c r="B9" s="2">
        <v>7.0</v>
      </c>
      <c r="C9" s="3">
        <f t="shared" si="5"/>
        <v>195</v>
      </c>
      <c r="D9" s="3">
        <f t="shared" si="1"/>
        <v>0.035</v>
      </c>
      <c r="E9" s="3">
        <f t="shared" si="6"/>
        <v>0.975</v>
      </c>
      <c r="F9" s="3">
        <f t="shared" si="2"/>
        <v>3.5</v>
      </c>
      <c r="G9" s="3">
        <f t="shared" si="7"/>
        <v>97.5</v>
      </c>
      <c r="H9" s="2">
        <f t="shared" si="3"/>
        <v>525</v>
      </c>
      <c r="I9" s="3"/>
      <c r="J9" s="3"/>
      <c r="K9" s="3"/>
      <c r="L9" s="3"/>
      <c r="M9" s="2">
        <v>75.0</v>
      </c>
      <c r="N9" s="3">
        <f t="shared" si="4"/>
        <v>39375</v>
      </c>
      <c r="O9" s="3"/>
      <c r="P9" s="3"/>
    </row>
    <row r="10">
      <c r="A10" s="2" t="s">
        <v>24</v>
      </c>
      <c r="B10" s="3"/>
      <c r="C10" s="3">
        <f t="shared" si="5"/>
        <v>195</v>
      </c>
      <c r="D10" s="3">
        <f t="shared" si="1"/>
        <v>0</v>
      </c>
      <c r="E10" s="3">
        <f t="shared" si="6"/>
        <v>0.975</v>
      </c>
      <c r="F10" s="3">
        <f t="shared" si="2"/>
        <v>0</v>
      </c>
      <c r="G10" s="3">
        <f t="shared" si="7"/>
        <v>97.5</v>
      </c>
      <c r="H10" s="2">
        <f t="shared" si="3"/>
        <v>0</v>
      </c>
      <c r="I10" s="3"/>
      <c r="J10" s="3"/>
      <c r="K10" s="3"/>
      <c r="L10" s="3"/>
      <c r="M10" s="2">
        <v>85.0</v>
      </c>
      <c r="N10" s="3">
        <f t="shared" si="4"/>
        <v>0</v>
      </c>
      <c r="O10" s="3"/>
      <c r="P10" s="3"/>
    </row>
    <row r="11">
      <c r="A11" s="2" t="s">
        <v>25</v>
      </c>
      <c r="B11" s="2">
        <v>1.0</v>
      </c>
      <c r="C11" s="3">
        <f t="shared" si="5"/>
        <v>196</v>
      </c>
      <c r="D11" s="3">
        <f t="shared" si="1"/>
        <v>0.005</v>
      </c>
      <c r="E11" s="3">
        <f t="shared" si="6"/>
        <v>0.98</v>
      </c>
      <c r="F11" s="3">
        <f t="shared" si="2"/>
        <v>0.5</v>
      </c>
      <c r="G11" s="3">
        <f t="shared" si="7"/>
        <v>98</v>
      </c>
      <c r="H11" s="2">
        <f t="shared" si="3"/>
        <v>95</v>
      </c>
      <c r="I11" s="3"/>
      <c r="J11" s="3"/>
      <c r="K11" s="3"/>
      <c r="L11" s="3"/>
      <c r="M11" s="2">
        <v>95.0</v>
      </c>
      <c r="N11" s="3">
        <f t="shared" si="4"/>
        <v>9025</v>
      </c>
      <c r="O11" s="3"/>
      <c r="P11" s="3"/>
    </row>
    <row r="12">
      <c r="A12" s="2" t="s">
        <v>26</v>
      </c>
      <c r="B12" s="2">
        <v>3.0</v>
      </c>
      <c r="C12" s="3">
        <f t="shared" si="5"/>
        <v>199</v>
      </c>
      <c r="D12" s="3">
        <f t="shared" si="1"/>
        <v>0.015</v>
      </c>
      <c r="E12" s="3">
        <f t="shared" si="6"/>
        <v>0.995</v>
      </c>
      <c r="F12" s="3">
        <f t="shared" si="2"/>
        <v>1.5</v>
      </c>
      <c r="G12" s="3">
        <f t="shared" si="7"/>
        <v>99.5</v>
      </c>
      <c r="H12" s="2">
        <f t="shared" si="3"/>
        <v>315</v>
      </c>
      <c r="I12" s="3"/>
      <c r="J12" s="3"/>
      <c r="K12" s="3"/>
      <c r="L12" s="3"/>
      <c r="M12" s="2">
        <v>105.0</v>
      </c>
      <c r="N12" s="3">
        <f t="shared" si="4"/>
        <v>33075</v>
      </c>
      <c r="O12" s="3"/>
      <c r="P12" s="3"/>
    </row>
    <row r="13">
      <c r="A13" s="2" t="s">
        <v>27</v>
      </c>
      <c r="B13" s="2">
        <v>1.0</v>
      </c>
      <c r="C13" s="3">
        <f t="shared" si="5"/>
        <v>200</v>
      </c>
      <c r="D13" s="3">
        <f t="shared" si="1"/>
        <v>0.005</v>
      </c>
      <c r="E13" s="3">
        <f t="shared" si="6"/>
        <v>1</v>
      </c>
      <c r="F13" s="3">
        <f t="shared" si="2"/>
        <v>0.5</v>
      </c>
      <c r="G13" s="3">
        <f t="shared" si="7"/>
        <v>100</v>
      </c>
      <c r="H13" s="2">
        <f t="shared" si="3"/>
        <v>115</v>
      </c>
      <c r="I13" s="3"/>
      <c r="J13" s="3"/>
      <c r="K13" s="3"/>
      <c r="L13" s="3"/>
      <c r="M13" s="2">
        <v>115.0</v>
      </c>
      <c r="N13" s="3">
        <f t="shared" si="4"/>
        <v>13225</v>
      </c>
      <c r="O13" s="3"/>
      <c r="P13" s="3"/>
    </row>
    <row r="14">
      <c r="A14" s="4"/>
      <c r="B14" s="4">
        <f>SUM(B2:B13)</f>
        <v>200</v>
      </c>
      <c r="C14" s="4"/>
      <c r="D14" s="4"/>
      <c r="E14" s="4"/>
      <c r="F14" s="4"/>
      <c r="G14" s="4"/>
      <c r="H14" s="4">
        <f>SUM(H2:H13)</f>
        <v>6200</v>
      </c>
      <c r="I14" s="4"/>
      <c r="J14" s="4"/>
      <c r="K14" s="4"/>
      <c r="L14" s="4"/>
      <c r="M14" s="4"/>
      <c r="N14" s="4">
        <f>SUM(N2:N13)</f>
        <v>288000</v>
      </c>
      <c r="O14" s="3"/>
      <c r="P14" s="4"/>
    </row>
    <row r="15">
      <c r="A15" s="4"/>
      <c r="B15" s="4"/>
      <c r="C15" s="4"/>
      <c r="D15" s="4"/>
      <c r="E15" s="4"/>
      <c r="F15" s="4"/>
      <c r="G15" s="4"/>
      <c r="H15" s="4">
        <f>H14/200</f>
        <v>31</v>
      </c>
      <c r="I15" s="4"/>
      <c r="J15" s="4"/>
      <c r="K15" s="4"/>
      <c r="L15" s="4"/>
      <c r="M15" s="4"/>
      <c r="N15" s="4">
        <f>N14/B14</f>
        <v>1440</v>
      </c>
      <c r="O15" s="3"/>
      <c r="P15" s="4"/>
    </row>
    <row r="18">
      <c r="A18" s="1" t="s">
        <v>28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29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</row>
    <row r="19">
      <c r="A19" s="2" t="s">
        <v>30</v>
      </c>
      <c r="B19" s="2">
        <v>30.0</v>
      </c>
      <c r="C19" s="3">
        <f>B19</f>
        <v>30</v>
      </c>
      <c r="D19" s="3">
        <f t="shared" ref="D19:D24" si="8">B19/$B$25</f>
        <v>0.15</v>
      </c>
      <c r="E19" s="3">
        <f>D19</f>
        <v>0.15</v>
      </c>
      <c r="F19" s="3">
        <f t="shared" ref="F19:F24" si="9">D19*100</f>
        <v>15</v>
      </c>
      <c r="G19" s="3">
        <f>F19</f>
        <v>15</v>
      </c>
      <c r="H19" s="3">
        <f t="shared" ref="H19:H24" si="10">M19*B19</f>
        <v>30</v>
      </c>
      <c r="I19" s="3">
        <f>2+(20/(20+7))*2</f>
        <v>3.481481481</v>
      </c>
      <c r="J19" s="3">
        <f>4 +((200/2 -80/43)*2)</f>
        <v>200.2790698</v>
      </c>
      <c r="K19" s="3"/>
      <c r="L19" s="3"/>
      <c r="M19" s="2">
        <v>1.0</v>
      </c>
      <c r="N19" s="3">
        <f t="shared" ref="N19:N24" si="11">M19*B19</f>
        <v>30</v>
      </c>
      <c r="O19" s="3">
        <f>SQRT(N26)</f>
        <v>2.308679276</v>
      </c>
      <c r="P19" s="3">
        <f>(O19/H26)*100</f>
        <v>43.31480818</v>
      </c>
    </row>
    <row r="20">
      <c r="A20" s="2" t="s">
        <v>31</v>
      </c>
      <c r="B20" s="2">
        <v>50.0</v>
      </c>
      <c r="C20" s="3">
        <f t="shared" ref="C20:C24" si="12">C19+B20</f>
        <v>80</v>
      </c>
      <c r="D20" s="3">
        <f t="shared" si="8"/>
        <v>0.25</v>
      </c>
      <c r="E20" s="3">
        <f t="shared" ref="E20:E24" si="13">D20+E19</f>
        <v>0.4</v>
      </c>
      <c r="F20" s="3">
        <f t="shared" si="9"/>
        <v>25</v>
      </c>
      <c r="G20" s="3">
        <f t="shared" ref="G20:G24" si="14">G19+F20</f>
        <v>40</v>
      </c>
      <c r="H20" s="3">
        <f t="shared" si="10"/>
        <v>150</v>
      </c>
      <c r="I20" s="3"/>
      <c r="J20" s="3"/>
      <c r="K20" s="3"/>
      <c r="L20" s="3"/>
      <c r="M20" s="2">
        <v>3.0</v>
      </c>
      <c r="N20" s="3">
        <f t="shared" si="11"/>
        <v>150</v>
      </c>
      <c r="O20" s="3"/>
      <c r="P20" s="3"/>
    </row>
    <row r="21">
      <c r="A21" s="2" t="s">
        <v>32</v>
      </c>
      <c r="B21" s="2">
        <v>43.0</v>
      </c>
      <c r="C21" s="3">
        <f t="shared" si="12"/>
        <v>123</v>
      </c>
      <c r="D21" s="3">
        <f t="shared" si="8"/>
        <v>0.215</v>
      </c>
      <c r="E21" s="3">
        <f t="shared" si="13"/>
        <v>0.615</v>
      </c>
      <c r="F21" s="3">
        <f t="shared" si="9"/>
        <v>21.5</v>
      </c>
      <c r="G21" s="3">
        <f t="shared" si="14"/>
        <v>61.5</v>
      </c>
      <c r="H21" s="3">
        <f t="shared" si="10"/>
        <v>215</v>
      </c>
      <c r="I21" s="3"/>
      <c r="J21" s="3"/>
      <c r="K21" s="3"/>
      <c r="L21" s="3"/>
      <c r="M21" s="2">
        <v>5.0</v>
      </c>
      <c r="N21" s="3">
        <f t="shared" si="11"/>
        <v>215</v>
      </c>
      <c r="O21" s="3"/>
      <c r="P21" s="3"/>
    </row>
    <row r="22">
      <c r="A22" s="2" t="s">
        <v>33</v>
      </c>
      <c r="B22" s="2">
        <v>34.0</v>
      </c>
      <c r="C22" s="3">
        <f t="shared" si="12"/>
        <v>157</v>
      </c>
      <c r="D22" s="3">
        <f t="shared" si="8"/>
        <v>0.17</v>
      </c>
      <c r="E22" s="3">
        <f t="shared" si="13"/>
        <v>0.785</v>
      </c>
      <c r="F22" s="3">
        <f t="shared" si="9"/>
        <v>17</v>
      </c>
      <c r="G22" s="3">
        <f t="shared" si="14"/>
        <v>78.5</v>
      </c>
      <c r="H22" s="3">
        <f t="shared" si="10"/>
        <v>238</v>
      </c>
      <c r="I22" s="3"/>
      <c r="J22" s="3"/>
      <c r="K22" s="3"/>
      <c r="L22" s="3"/>
      <c r="M22" s="2">
        <v>7.0</v>
      </c>
      <c r="N22" s="3">
        <f t="shared" si="11"/>
        <v>238</v>
      </c>
      <c r="O22" s="3"/>
      <c r="P22" s="3"/>
    </row>
    <row r="23">
      <c r="A23" s="2" t="s">
        <v>34</v>
      </c>
      <c r="B23" s="2">
        <v>20.0</v>
      </c>
      <c r="C23" s="3">
        <f t="shared" si="12"/>
        <v>177</v>
      </c>
      <c r="D23" s="3">
        <f t="shared" si="8"/>
        <v>0.1</v>
      </c>
      <c r="E23" s="3">
        <f t="shared" si="13"/>
        <v>0.885</v>
      </c>
      <c r="F23" s="3">
        <f t="shared" si="9"/>
        <v>10</v>
      </c>
      <c r="G23" s="3">
        <f t="shared" si="14"/>
        <v>88.5</v>
      </c>
      <c r="H23" s="3">
        <f t="shared" si="10"/>
        <v>180</v>
      </c>
      <c r="I23" s="3"/>
      <c r="J23" s="3"/>
      <c r="K23" s="3"/>
      <c r="L23" s="3"/>
      <c r="M23" s="2">
        <v>9.0</v>
      </c>
      <c r="N23" s="3">
        <f t="shared" si="11"/>
        <v>180</v>
      </c>
      <c r="O23" s="3"/>
      <c r="P23" s="3"/>
    </row>
    <row r="24">
      <c r="A24" s="2" t="s">
        <v>35</v>
      </c>
      <c r="B24" s="2">
        <v>23.0</v>
      </c>
      <c r="C24" s="3">
        <f t="shared" si="12"/>
        <v>200</v>
      </c>
      <c r="D24" s="3">
        <f t="shared" si="8"/>
        <v>0.115</v>
      </c>
      <c r="E24" s="3">
        <f t="shared" si="13"/>
        <v>1</v>
      </c>
      <c r="F24" s="3">
        <f t="shared" si="9"/>
        <v>11.5</v>
      </c>
      <c r="G24" s="3">
        <f t="shared" si="14"/>
        <v>100</v>
      </c>
      <c r="H24" s="3">
        <f t="shared" si="10"/>
        <v>253</v>
      </c>
      <c r="I24" s="3"/>
      <c r="J24" s="3"/>
      <c r="K24" s="3"/>
      <c r="L24" s="3"/>
      <c r="M24" s="2">
        <v>11.0</v>
      </c>
      <c r="N24" s="3">
        <f t="shared" si="11"/>
        <v>253</v>
      </c>
      <c r="O24" s="3"/>
      <c r="P24" s="3"/>
    </row>
    <row r="25">
      <c r="A25" s="4"/>
      <c r="B25" s="4">
        <f>SUM(B19:B24)</f>
        <v>200</v>
      </c>
      <c r="C25" s="4"/>
      <c r="D25" s="4"/>
      <c r="E25" s="4"/>
      <c r="F25" s="4"/>
      <c r="G25" s="4"/>
      <c r="H25" s="4">
        <f>SUM(H19:H24)</f>
        <v>1066</v>
      </c>
      <c r="I25" s="4"/>
      <c r="J25" s="4"/>
      <c r="K25" s="4"/>
      <c r="L25" s="4"/>
      <c r="M25" s="4"/>
      <c r="N25" s="4">
        <f>SUM(N19:N24)</f>
        <v>1066</v>
      </c>
      <c r="O25" s="4"/>
      <c r="P25" s="4"/>
    </row>
    <row r="26">
      <c r="A26" s="4"/>
      <c r="B26" s="4"/>
      <c r="C26" s="4"/>
      <c r="D26" s="4"/>
      <c r="E26" s="4"/>
      <c r="F26" s="4"/>
      <c r="G26" s="4"/>
      <c r="H26" s="4">
        <f>H25/200</f>
        <v>5.33</v>
      </c>
      <c r="I26" s="4"/>
      <c r="J26" s="4"/>
      <c r="K26" s="4"/>
      <c r="L26" s="4"/>
      <c r="M26" s="4"/>
      <c r="N26" s="4">
        <f>N25/B25</f>
        <v>5.33</v>
      </c>
      <c r="O26" s="4"/>
      <c r="P26" s="4"/>
    </row>
  </sheetData>
  <drawing r:id="rId1"/>
</worksheet>
</file>